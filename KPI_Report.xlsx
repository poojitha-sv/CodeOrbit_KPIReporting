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KPI Repo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<sst xmlns="http://schemas.openxmlformats.org/spreadsheetml/2006/main" count="208" uniqueCount="71">
  <si>
    <t xml:space="preserve">OrderID</t>
  </si>
  <si>
    <t xml:space="preserve">OrderDate</t>
  </si>
  <si>
    <t xml:space="preserve">Product</t>
  </si>
  <si>
    <t xml:space="preserve">Category</t>
  </si>
  <si>
    <t xml:space="preserve">Region</t>
  </si>
  <si>
    <t xml:space="preserve">CustomerType</t>
  </si>
  <si>
    <t xml:space="preserve">Quantity</t>
  </si>
  <si>
    <t xml:space="preserve">UnitPrice</t>
  </si>
  <si>
    <t xml:space="preserve">PaymentMethod</t>
  </si>
  <si>
    <t xml:space="preserve">TotalPrice</t>
  </si>
  <si>
    <t xml:space="preserve">Month</t>
  </si>
  <si>
    <t xml:space="preserve">2024-03-01</t>
  </si>
  <si>
    <t xml:space="preserve">Wireless Mouse</t>
  </si>
  <si>
    <t xml:space="preserve">Electronics</t>
  </si>
  <si>
    <t xml:space="preserve">North</t>
  </si>
  <si>
    <t xml:space="preserve">New</t>
  </si>
  <si>
    <t xml:space="preserve">Card</t>
  </si>
  <si>
    <t xml:space="preserve">2024-03</t>
  </si>
  <si>
    <t xml:space="preserve">2024-03-02</t>
  </si>
  <si>
    <t xml:space="preserve">Office Chair</t>
  </si>
  <si>
    <t xml:space="preserve">Furniture</t>
  </si>
  <si>
    <t xml:space="preserve">South</t>
  </si>
  <si>
    <t xml:space="preserve">Returning</t>
  </si>
  <si>
    <t xml:space="preserve">UPI</t>
  </si>
  <si>
    <t xml:space="preserve">2024-03-03</t>
  </si>
  <si>
    <t xml:space="preserve">Notebook Set</t>
  </si>
  <si>
    <t xml:space="preserve">Stationery</t>
  </si>
  <si>
    <t xml:space="preserve">2024-03-04</t>
  </si>
  <si>
    <t xml:space="preserve">Desk Lamp</t>
  </si>
  <si>
    <t xml:space="preserve">East</t>
  </si>
  <si>
    <t xml:space="preserve">Cash</t>
  </si>
  <si>
    <t xml:space="preserve">2024-03-05</t>
  </si>
  <si>
    <t xml:space="preserve">Bluetooth Speaker</t>
  </si>
  <si>
    <t xml:space="preserve">West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</si>
  <si>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</si>
  <si>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</si>
  <si>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</si>
  <si>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</si>
  <si>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</si>
  <si>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</si>
  <si>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</si>
  <si>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</si>
  <si>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</si>
  <si>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</si>
  <si>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</si>
  <si>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</si>
  <si>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</si>
  <si>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</si>
  <si>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</si>
  <si>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</si>
  <si>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</si>
  <si>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</si>
  <si>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</si>
  <si>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KPI Report - Retail Sales Performance</t>
  </si>
  <si>
    <t xml:space="preserve">Total Revenue</t>
  </si>
  <si>
    <t xml:space="preserve">Average Order Value</t>
  </si>
  <si>
    <t xml:space="preserve">Repeat Customer Rate</t>
  </si>
  <si>
    <t xml:space="preserve">Top Category Share
(Furniture)</t>
  </si>
  <si>
    <t xml:space="preserve">Digital Payment
Adoption Rate</t>
  </si>
  <si>
    <t xml:space="preserve">Why Each KPI Matters</t>
  </si>
  <si>
    <t xml:space="preserve">KPI</t>
  </si>
  <si>
    <t xml:space="preserve">Why It Matters</t>
  </si>
  <si>
    <t xml:space="preserve">Shows overall business health at a glance - the single most important top-line number.</t>
  </si>
  <si>
    <t xml:space="preserve">Reveals how much customers spend per visit - useful for pricing and upsell strategy.</t>
  </si>
  <si>
    <t xml:space="preserve">Measures customer loyalty - repeat customers are cheaper to sell to than new ones.</t>
  </si>
  <si>
    <t xml:space="preserve">Top Category Share</t>
  </si>
  <si>
    <t xml:space="preserve">Shows which category the business depends on most - useful for inventory and marketing focus.</t>
  </si>
  <si>
    <t xml:space="preserve">Digital Payment Rate</t>
  </si>
  <si>
    <t xml:space="preserve">Tracks how customers prefer to pay - informs where to invest in payment infrastructure.</t>
  </si>
  <si>
    <t xml:space="preserve">Revenue</t>
  </si>
  <si>
    <t xml:space="preserve">Payment Method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</si>
</sst>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 Report'!B17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Report'!$A$18:$A$20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'KPI Report'!$B$18:$B$20</c:f>
              <c:numCache>
                <c:formatCode>\$#,##0.00</c:formatCode>
                <c:ptCount val="3"/>
                <c:pt idx="0">
                  <c:v>724.8</c:v>
                </c:pt>
                <c:pt idx="1">
                  <c:v>877.44</c:v>
                </c:pt>
                <c:pt idx="2">
                  <c:v>243</c:v>
                </c:pt>
              </c:numCache>
            </c:numRef>
          </c:val>
        </c:ser>
        <c:gapWidth val="150"/>
        <c:overlap val="0"/>
        <c:axId val="69084452"/>
        <c:axId val="19010494"/>
      </c:barChart>
      <c:catAx>
        <c:axId val="690844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10494"/>
        <c:crosses val="autoZero"/>
        <c:auto val="1"/>
        <c:lblAlgn val="ctr"/>
        <c:lblOffset val="100"/>
        <c:noMultiLvlLbl val="0"/>
      </c:catAx>
      <c:valAx>
        <c:axId val="190104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0844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'KPI Report'!E17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'KPI Report'!$D$18:$D$20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'KPI Report'!$E$18:$E$20</c:f>
              <c:numCache>
                <c:formatCode>\$#,##0.00</c:formatCode>
                <c:ptCount val="3"/>
                <c:pt idx="0">
                  <c:v>807.88</c:v>
                </c:pt>
                <c:pt idx="1">
                  <c:v>568.42</c:v>
                </c:pt>
                <c:pt idx="2">
                  <c:v>468.94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0</xdr:rowOff>
    </xdr:from>
    <xdr:to>
      <xdr:col>3</xdr:col>
      <xdr:colOff>717480</xdr:colOff>
      <xdr:row>36</xdr:row>
      <xdr:rowOff>43200</xdr:rowOff>
    </xdr:to>
    <xdr:graphicFrame>
      <xdr:nvGraphicFramePr>
        <xdr:cNvPr id="0" name="Chart 1"/>
        <xdr:cNvGraphicFramePr/>
      </xdr:nvGraphicFramePr>
      <xdr:xfrm>
        <a:off x="0" y="476244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0</xdr:rowOff>
    </xdr:from>
    <xdr:to>
      <xdr:col>9</xdr:col>
      <xdr:colOff>294480</xdr:colOff>
      <xdr:row>36</xdr:row>
      <xdr:rowOff>43200</xdr:rowOff>
    </xdr:to>
    <xdr:graphicFrame>
      <xdr:nvGraphicFramePr>
        <xdr:cNvPr id="1" name="Chart 2"/>
        <xdr:cNvGraphicFramePr/>
      </xdr:nvGraphicFramePr>
      <xdr:xfrm>
        <a:off x="5074920" y="476244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n">
        <v>2001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n">
        <v>3</v>
      </c>
      <c r="H2" s="0" t="n">
        <v>15.99</v>
      </c>
      <c r="I2" s="0" t="s">
        <v>16</v>
      </c>
      <c r="J2" s="0" t="n">
        <v>47.97</v>
      </c>
      <c r="K2" s="0" t="s">
        <v>17</v>
      </c>
    </row>
    <row r="3" customFormat="false" ht="15" hidden="false" customHeight="false" outlineLevel="0" collapsed="false">
      <c r="A3" s="0" t="n">
        <v>2002</v>
      </c>
      <c r="B3" s="0" t="s">
        <v>18</v>
      </c>
      <c r="C3" s="0" t="s">
        <v>19</v>
      </c>
      <c r="D3" s="0" t="s">
        <v>20</v>
      </c>
      <c r="E3" s="0" t="s">
        <v>21</v>
      </c>
      <c r="F3" s="0" t="s">
        <v>22</v>
      </c>
      <c r="G3" s="0" t="n">
        <v>1</v>
      </c>
      <c r="H3" s="0" t="n">
        <v>89.99</v>
      </c>
      <c r="I3" s="0" t="s">
        <v>23</v>
      </c>
      <c r="J3" s="0" t="n">
        <v>89.99</v>
      </c>
      <c r="K3" s="0" t="s">
        <v>17</v>
      </c>
    </row>
    <row r="4" customFormat="false" ht="15" hidden="false" customHeight="false" outlineLevel="0" collapsed="false">
      <c r="A4" s="0" t="n">
        <v>2003</v>
      </c>
      <c r="B4" s="0" t="s">
        <v>24</v>
      </c>
      <c r="C4" s="0" t="s">
        <v>25</v>
      </c>
      <c r="D4" s="0" t="s">
        <v>26</v>
      </c>
      <c r="E4" s="0" t="s">
        <v>14</v>
      </c>
      <c r="F4" s="0" t="s">
        <v>15</v>
      </c>
      <c r="G4" s="0" t="n">
        <v>12</v>
      </c>
      <c r="H4" s="0" t="n">
        <v>4.5</v>
      </c>
      <c r="I4" s="0" t="s">
        <v>16</v>
      </c>
      <c r="J4" s="0" t="n">
        <v>54</v>
      </c>
      <c r="K4" s="0" t="s">
        <v>17</v>
      </c>
    </row>
    <row r="5" customFormat="false" ht="15" hidden="false" customHeight="false" outlineLevel="0" collapsed="false">
      <c r="A5" s="0" t="n">
        <v>2004</v>
      </c>
      <c r="B5" s="0" t="s">
        <v>27</v>
      </c>
      <c r="C5" s="0" t="s">
        <v>28</v>
      </c>
      <c r="D5" s="0" t="s">
        <v>20</v>
      </c>
      <c r="E5" s="0" t="s">
        <v>29</v>
      </c>
      <c r="F5" s="0" t="s">
        <v>22</v>
      </c>
      <c r="G5" s="0" t="n">
        <v>2</v>
      </c>
      <c r="H5" s="0" t="n">
        <v>22.5</v>
      </c>
      <c r="I5" s="0" t="s">
        <v>30</v>
      </c>
      <c r="J5" s="0" t="n">
        <v>45</v>
      </c>
      <c r="K5" s="0" t="s">
        <v>17</v>
      </c>
    </row>
    <row r="6" customFormat="false" ht="15" hidden="false" customHeight="false" outlineLevel="0" collapsed="false">
      <c r="A6" s="0" t="n">
        <v>2005</v>
      </c>
      <c r="B6" s="0" t="s">
        <v>31</v>
      </c>
      <c r="C6" s="0" t="s">
        <v>32</v>
      </c>
      <c r="D6" s="0" t="s">
        <v>13</v>
      </c>
      <c r="E6" s="0" t="s">
        <v>33</v>
      </c>
      <c r="F6" s="0" t="s">
        <v>15</v>
      </c>
      <c r="G6" s="0" t="n">
        <v>3</v>
      </c>
      <c r="H6" s="0" t="n">
        <v>45</v>
      </c>
      <c r="I6" s="0" t="s">
        <v>16</v>
      </c>
      <c r="J6" s="0" t="n">
        <v>135</v>
      </c>
      <c r="K6" s="0" t="s">
        <v>17</v>
      </c>
    </row>
    <row r="7" customFormat="false" ht="15" hidden="false" customHeight="false" outlineLevel="0" collapsed="false">
      <c r="A7" s="0" t="n">
        <v>2006</v>
      </c>
      <c r="B7" s="0" t="s">
        <v>34</v>
      </c>
      <c r="C7" s="0" t="s">
        <v>12</v>
      </c>
      <c r="D7" s="0" t="s">
        <v>13</v>
      </c>
      <c r="E7" s="0" t="s">
        <v>21</v>
      </c>
      <c r="F7" s="0" t="s">
        <v>22</v>
      </c>
      <c r="G7" s="0" t="n">
        <v>4</v>
      </c>
      <c r="H7" s="0" t="n">
        <v>15.99</v>
      </c>
      <c r="I7" s="0" t="s">
        <v>23</v>
      </c>
      <c r="J7" s="0" t="n">
        <v>63.96</v>
      </c>
      <c r="K7" s="0" t="s">
        <v>17</v>
      </c>
    </row>
    <row r="8" customFormat="false" ht="15" hidden="false" customHeight="false" outlineLevel="0" collapsed="false">
      <c r="A8" s="0" t="n">
        <v>2007</v>
      </c>
      <c r="B8" s="0" t="s">
        <v>35</v>
      </c>
      <c r="C8" s="0" t="s">
        <v>19</v>
      </c>
      <c r="D8" s="0" t="s">
        <v>20</v>
      </c>
      <c r="E8" s="0" t="s">
        <v>14</v>
      </c>
      <c r="F8" s="0" t="s">
        <v>15</v>
      </c>
      <c r="G8" s="0" t="n">
        <v>1</v>
      </c>
      <c r="H8" s="0" t="n">
        <v>89.99</v>
      </c>
      <c r="I8" s="0" t="s">
        <v>16</v>
      </c>
      <c r="J8" s="0" t="n">
        <v>89.99</v>
      </c>
      <c r="K8" s="0" t="s">
        <v>17</v>
      </c>
    </row>
    <row r="9" customFormat="false" ht="15" hidden="false" customHeight="false" outlineLevel="0" collapsed="false">
      <c r="A9" s="0" t="n">
        <v>2008</v>
      </c>
      <c r="B9" s="0" t="s">
        <v>36</v>
      </c>
      <c r="C9" s="0" t="s">
        <v>25</v>
      </c>
      <c r="D9" s="0" t="s">
        <v>26</v>
      </c>
      <c r="E9" s="0" t="s">
        <v>29</v>
      </c>
      <c r="F9" s="0" t="s">
        <v>22</v>
      </c>
      <c r="G9" s="0" t="n">
        <v>10</v>
      </c>
      <c r="H9" s="0" t="n">
        <v>4.5</v>
      </c>
      <c r="I9" s="0" t="s">
        <v>30</v>
      </c>
      <c r="J9" s="0" t="n">
        <v>45</v>
      </c>
      <c r="K9" s="0" t="s">
        <v>17</v>
      </c>
    </row>
    <row r="10" customFormat="false" ht="15" hidden="false" customHeight="false" outlineLevel="0" collapsed="false">
      <c r="A10" s="0" t="n">
        <v>2009</v>
      </c>
      <c r="B10" s="0" t="s">
        <v>37</v>
      </c>
      <c r="C10" s="0" t="s">
        <v>28</v>
      </c>
      <c r="D10" s="0" t="s">
        <v>20</v>
      </c>
      <c r="E10" s="0" t="s">
        <v>33</v>
      </c>
      <c r="F10" s="0" t="s">
        <v>15</v>
      </c>
      <c r="G10" s="0" t="n">
        <v>3</v>
      </c>
      <c r="H10" s="0" t="n">
        <v>22.5</v>
      </c>
      <c r="I10" s="0" t="s">
        <v>16</v>
      </c>
      <c r="J10" s="0" t="n">
        <v>67.5</v>
      </c>
      <c r="K10" s="0" t="s">
        <v>17</v>
      </c>
    </row>
    <row r="11" customFormat="false" ht="15" hidden="false" customHeight="false" outlineLevel="0" collapsed="false">
      <c r="A11" s="0" t="n">
        <v>2010</v>
      </c>
      <c r="B11" s="0" t="s">
        <v>38</v>
      </c>
      <c r="C11" s="0" t="s">
        <v>32</v>
      </c>
      <c r="D11" s="0" t="s">
        <v>13</v>
      </c>
      <c r="E11" s="0" t="s">
        <v>14</v>
      </c>
      <c r="F11" s="0" t="s">
        <v>22</v>
      </c>
      <c r="G11" s="0" t="n">
        <v>2</v>
      </c>
      <c r="H11" s="0" t="n">
        <v>45</v>
      </c>
      <c r="I11" s="0" t="s">
        <v>23</v>
      </c>
      <c r="J11" s="0" t="n">
        <v>90</v>
      </c>
      <c r="K11" s="0" t="s">
        <v>17</v>
      </c>
    </row>
    <row r="12" customFormat="false" ht="15" hidden="false" customHeight="false" outlineLevel="0" collapsed="false">
      <c r="A12" s="0" t="n">
        <v>2011</v>
      </c>
      <c r="B12" s="0" t="s">
        <v>39</v>
      </c>
      <c r="C12" s="0" t="s">
        <v>12</v>
      </c>
      <c r="D12" s="0" t="s">
        <v>13</v>
      </c>
      <c r="E12" s="0" t="s">
        <v>29</v>
      </c>
      <c r="F12" s="0" t="s">
        <v>15</v>
      </c>
      <c r="G12" s="0" t="n">
        <v>5</v>
      </c>
      <c r="H12" s="0" t="n">
        <v>15.99</v>
      </c>
      <c r="I12" s="0" t="s">
        <v>16</v>
      </c>
      <c r="J12" s="0" t="n">
        <v>79.95</v>
      </c>
      <c r="K12" s="0" t="s">
        <v>17</v>
      </c>
    </row>
    <row r="13" customFormat="false" ht="15" hidden="false" customHeight="false" outlineLevel="0" collapsed="false">
      <c r="A13" s="0" t="n">
        <v>2012</v>
      </c>
      <c r="B13" s="0" t="s">
        <v>40</v>
      </c>
      <c r="C13" s="0" t="s">
        <v>19</v>
      </c>
      <c r="D13" s="0" t="s">
        <v>20</v>
      </c>
      <c r="E13" s="0" t="s">
        <v>21</v>
      </c>
      <c r="F13" s="0" t="s">
        <v>22</v>
      </c>
      <c r="G13" s="0" t="n">
        <v>2</v>
      </c>
      <c r="H13" s="0" t="n">
        <v>89.99</v>
      </c>
      <c r="I13" s="0" t="s">
        <v>30</v>
      </c>
      <c r="J13" s="0" t="n">
        <v>179.98</v>
      </c>
      <c r="K13" s="0" t="s">
        <v>17</v>
      </c>
    </row>
    <row r="14" customFormat="false" ht="15" hidden="false" customHeight="false" outlineLevel="0" collapsed="false">
      <c r="A14" s="0" t="n">
        <v>2013</v>
      </c>
      <c r="B14" s="0" t="s">
        <v>41</v>
      </c>
      <c r="C14" s="0" t="s">
        <v>25</v>
      </c>
      <c r="D14" s="0" t="s">
        <v>26</v>
      </c>
      <c r="E14" s="0" t="s">
        <v>33</v>
      </c>
      <c r="F14" s="0" t="s">
        <v>15</v>
      </c>
      <c r="G14" s="0" t="n">
        <v>8</v>
      </c>
      <c r="H14" s="0" t="n">
        <v>4.5</v>
      </c>
      <c r="I14" s="0" t="s">
        <v>16</v>
      </c>
      <c r="J14" s="0" t="n">
        <v>36</v>
      </c>
      <c r="K14" s="0" t="s">
        <v>17</v>
      </c>
    </row>
    <row r="15" customFormat="false" ht="15" hidden="false" customHeight="false" outlineLevel="0" collapsed="false">
      <c r="A15" s="0" t="n">
        <v>2014</v>
      </c>
      <c r="B15" s="0" t="s">
        <v>42</v>
      </c>
      <c r="C15" s="0" t="s">
        <v>28</v>
      </c>
      <c r="D15" s="0" t="s">
        <v>20</v>
      </c>
      <c r="E15" s="0" t="s">
        <v>14</v>
      </c>
      <c r="F15" s="0" t="s">
        <v>22</v>
      </c>
      <c r="G15" s="0" t="n">
        <v>3</v>
      </c>
      <c r="H15" s="0" t="n">
        <v>22.5</v>
      </c>
      <c r="I15" s="0" t="s">
        <v>23</v>
      </c>
      <c r="J15" s="0" t="n">
        <v>67.5</v>
      </c>
      <c r="K15" s="0" t="s">
        <v>17</v>
      </c>
    </row>
    <row r="16" customFormat="false" ht="15" hidden="false" customHeight="false" outlineLevel="0" collapsed="false">
      <c r="A16" s="0" t="n">
        <v>2015</v>
      </c>
      <c r="B16" s="0" t="s">
        <v>43</v>
      </c>
      <c r="C16" s="0" t="s">
        <v>32</v>
      </c>
      <c r="D16" s="0" t="s">
        <v>13</v>
      </c>
      <c r="E16" s="0" t="s">
        <v>21</v>
      </c>
      <c r="F16" s="0" t="s">
        <v>15</v>
      </c>
      <c r="G16" s="0" t="n">
        <v>1</v>
      </c>
      <c r="H16" s="0" t="n">
        <v>45</v>
      </c>
      <c r="I16" s="0" t="s">
        <v>16</v>
      </c>
      <c r="J16" s="0" t="n">
        <v>45</v>
      </c>
      <c r="K16" s="0" t="s">
        <v>17</v>
      </c>
    </row>
    <row r="17" customFormat="false" ht="15" hidden="false" customHeight="false" outlineLevel="0" collapsed="false">
      <c r="A17" s="0" t="n">
        <v>2016</v>
      </c>
      <c r="B17" s="0" t="s">
        <v>44</v>
      </c>
      <c r="C17" s="0" t="s">
        <v>12</v>
      </c>
      <c r="D17" s="0" t="s">
        <v>13</v>
      </c>
      <c r="E17" s="0" t="s">
        <v>33</v>
      </c>
      <c r="F17" s="0" t="s">
        <v>22</v>
      </c>
      <c r="G17" s="0" t="n">
        <v>6</v>
      </c>
      <c r="H17" s="0" t="n">
        <v>15.99</v>
      </c>
      <c r="I17" s="0" t="s">
        <v>30</v>
      </c>
      <c r="J17" s="0" t="n">
        <v>95.94</v>
      </c>
      <c r="K17" s="0" t="s">
        <v>17</v>
      </c>
    </row>
    <row r="18" customFormat="false" ht="15" hidden="false" customHeight="false" outlineLevel="0" collapsed="false">
      <c r="A18" s="0" t="n">
        <v>2017</v>
      </c>
      <c r="B18" s="0" t="s">
        <v>45</v>
      </c>
      <c r="C18" s="0" t="s">
        <v>19</v>
      </c>
      <c r="D18" s="0" t="s">
        <v>20</v>
      </c>
      <c r="E18" s="0" t="s">
        <v>29</v>
      </c>
      <c r="F18" s="0" t="s">
        <v>15</v>
      </c>
      <c r="G18" s="0" t="n">
        <v>1</v>
      </c>
      <c r="H18" s="0" t="n">
        <v>89.99</v>
      </c>
      <c r="I18" s="0" t="s">
        <v>16</v>
      </c>
      <c r="J18" s="0" t="n">
        <v>89.99</v>
      </c>
      <c r="K18" s="0" t="s">
        <v>17</v>
      </c>
    </row>
    <row r="19" customFormat="false" ht="15" hidden="false" customHeight="false" outlineLevel="0" collapsed="false">
      <c r="A19" s="0" t="n">
        <v>2018</v>
      </c>
      <c r="B19" s="0" t="s">
        <v>46</v>
      </c>
      <c r="C19" s="0" t="s">
        <v>25</v>
      </c>
      <c r="D19" s="0" t="s">
        <v>26</v>
      </c>
      <c r="E19" s="0" t="s">
        <v>14</v>
      </c>
      <c r="F19" s="0" t="s">
        <v>22</v>
      </c>
      <c r="G19" s="0" t="n">
        <v>15</v>
      </c>
      <c r="H19" s="0" t="n">
        <v>4.5</v>
      </c>
      <c r="I19" s="0" t="s">
        <v>23</v>
      </c>
      <c r="J19" s="0" t="n">
        <v>67.5</v>
      </c>
      <c r="K19" s="0" t="s">
        <v>17</v>
      </c>
    </row>
    <row r="20" customFormat="false" ht="15" hidden="false" customHeight="false" outlineLevel="0" collapsed="false">
      <c r="A20" s="0" t="n">
        <v>2019</v>
      </c>
      <c r="B20" s="0" t="s">
        <v>47</v>
      </c>
      <c r="C20" s="0" t="s">
        <v>28</v>
      </c>
      <c r="D20" s="0" t="s">
        <v>20</v>
      </c>
      <c r="E20" s="0" t="s">
        <v>21</v>
      </c>
      <c r="F20" s="0" t="s">
        <v>15</v>
      </c>
      <c r="G20" s="0" t="n">
        <v>4</v>
      </c>
      <c r="H20" s="0" t="n">
        <v>22.5</v>
      </c>
      <c r="I20" s="0" t="s">
        <v>16</v>
      </c>
      <c r="J20" s="0" t="n">
        <v>90</v>
      </c>
      <c r="K20" s="0" t="s">
        <v>17</v>
      </c>
    </row>
    <row r="21" customFormat="false" ht="15" hidden="false" customHeight="false" outlineLevel="0" collapsed="false">
      <c r="A21" s="0" t="n">
        <v>2020</v>
      </c>
      <c r="B21" s="0" t="s">
        <v>48</v>
      </c>
      <c r="C21" s="0" t="s">
        <v>32</v>
      </c>
      <c r="D21" s="0" t="s">
        <v>13</v>
      </c>
      <c r="E21" s="0" t="s">
        <v>29</v>
      </c>
      <c r="F21" s="0" t="s">
        <v>22</v>
      </c>
      <c r="G21" s="0" t="n">
        <v>3</v>
      </c>
      <c r="H21" s="0" t="n">
        <v>45</v>
      </c>
      <c r="I21" s="0" t="s">
        <v>30</v>
      </c>
      <c r="J21" s="0" t="n">
        <v>135</v>
      </c>
      <c r="K21" s="0" t="s">
        <v>17</v>
      </c>
    </row>
    <row r="22" customFormat="false" ht="15" hidden="false" customHeight="false" outlineLevel="0" collapsed="false">
      <c r="A22" s="0" t="n">
        <v>2021</v>
      </c>
      <c r="B22" s="0" t="s">
        <v>49</v>
      </c>
      <c r="C22" s="0" t="s">
        <v>12</v>
      </c>
      <c r="D22" s="0" t="s">
        <v>13</v>
      </c>
      <c r="E22" s="0" t="s">
        <v>14</v>
      </c>
      <c r="F22" s="0" t="s">
        <v>15</v>
      </c>
      <c r="G22" s="0" t="n">
        <v>2</v>
      </c>
      <c r="H22" s="0" t="n">
        <v>15.99</v>
      </c>
      <c r="I22" s="0" t="s">
        <v>16</v>
      </c>
      <c r="J22" s="0" t="n">
        <v>31.98</v>
      </c>
      <c r="K22" s="0" t="s">
        <v>17</v>
      </c>
    </row>
    <row r="23" customFormat="false" ht="15" hidden="false" customHeight="false" outlineLevel="0" collapsed="false">
      <c r="A23" s="0" t="n">
        <v>2022</v>
      </c>
      <c r="B23" s="0" t="s">
        <v>50</v>
      </c>
      <c r="C23" s="0" t="s">
        <v>19</v>
      </c>
      <c r="D23" s="0" t="s">
        <v>20</v>
      </c>
      <c r="E23" s="0" t="s">
        <v>33</v>
      </c>
      <c r="F23" s="0" t="s">
        <v>22</v>
      </c>
      <c r="G23" s="0" t="n">
        <v>1</v>
      </c>
      <c r="H23" s="0" t="n">
        <v>89.99</v>
      </c>
      <c r="I23" s="0" t="s">
        <v>23</v>
      </c>
      <c r="J23" s="0" t="n">
        <v>89.99</v>
      </c>
      <c r="K23" s="0" t="s">
        <v>17</v>
      </c>
    </row>
    <row r="24" customFormat="false" ht="15" hidden="false" customHeight="false" outlineLevel="0" collapsed="false">
      <c r="A24" s="0" t="n">
        <v>2023</v>
      </c>
      <c r="B24" s="0" t="s">
        <v>51</v>
      </c>
      <c r="C24" s="0" t="s">
        <v>25</v>
      </c>
      <c r="D24" s="0" t="s">
        <v>26</v>
      </c>
      <c r="E24" s="0" t="s">
        <v>21</v>
      </c>
      <c r="F24" s="0" t="s">
        <v>15</v>
      </c>
      <c r="G24" s="0" t="n">
        <v>9</v>
      </c>
      <c r="H24" s="0" t="n">
        <v>4.5</v>
      </c>
      <c r="I24" s="0" t="s">
        <v>16</v>
      </c>
      <c r="J24" s="0" t="n">
        <v>40.5</v>
      </c>
      <c r="K24" s="0" t="s">
        <v>17</v>
      </c>
    </row>
    <row r="25" customFormat="false" ht="15" hidden="false" customHeight="false" outlineLevel="0" collapsed="false">
      <c r="A25" s="0" t="n">
        <v>2024</v>
      </c>
      <c r="B25" s="0" t="s">
        <v>52</v>
      </c>
      <c r="C25" s="0" t="s">
        <v>28</v>
      </c>
      <c r="D25" s="0" t="s">
        <v>20</v>
      </c>
      <c r="E25" s="0" t="s">
        <v>29</v>
      </c>
      <c r="F25" s="0" t="s">
        <v>22</v>
      </c>
      <c r="G25" s="0" t="n">
        <v>3</v>
      </c>
      <c r="H25" s="0" t="n">
        <v>22.5</v>
      </c>
      <c r="I25" s="0" t="s">
        <v>30</v>
      </c>
      <c r="J25" s="0" t="n">
        <v>67.5</v>
      </c>
      <c r="K25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0" min="2" style="0" width="13"/>
  </cols>
  <sheetData>
    <row r="1" customFormat="false" ht="30" hidden="false" customHeight="true" outlineLevel="0" collapsed="false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30" hidden="false" customHeight="true" outlineLevel="0" collapsed="false">
      <c r="A3" s="2" t="s">
        <v>54</v>
      </c>
      <c r="B3" s="2"/>
      <c r="C3" s="2" t="s">
        <v>55</v>
      </c>
      <c r="D3" s="2"/>
      <c r="E3" s="2" t="s">
        <v>56</v>
      </c>
      <c r="F3" s="2"/>
      <c r="G3" s="2" t="s">
        <v>57</v>
      </c>
      <c r="H3" s="2"/>
      <c r="I3" s="2" t="s">
        <v>58</v>
      </c>
      <c r="J3" s="2"/>
    </row>
    <row r="4" customFormat="false" ht="15" hidden="false" customHeight="false" outlineLevel="0" collapsed="false">
      <c r="A4" s="3" t="n">
        <f aca="false">SUM(Data!J2:J25)</f>
        <v>1845.24</v>
      </c>
      <c r="B4" s="3"/>
      <c r="C4" s="3" t="n">
        <f aca="false">AVERAGE(Data!J2:J25)</f>
        <v>76.885</v>
      </c>
      <c r="D4" s="3"/>
      <c r="E4" s="4" t="n">
        <f aca="false">COUNTIF(Data!F2:F25,"Returning")/COUNTA(Data!F2:F25)</f>
        <v>0.5</v>
      </c>
      <c r="F4" s="4"/>
      <c r="G4" s="4" t="n">
        <f aca="false">SUMIF(Data!D2:D25,"Furniture",Data!J2:J25)/SUM(Data!J2:J25)</f>
        <v>0.475515380113156</v>
      </c>
      <c r="H4" s="4"/>
      <c r="I4" s="4" t="n">
        <f aca="false">(COUNTIF(Data!I2:I25,"Card")+COUNTIF(Data!I2:I25,"UPI"))/COUNTA(Data!I2:I25)</f>
        <v>0.75</v>
      </c>
      <c r="J4" s="4"/>
    </row>
    <row r="5" customFormat="false" ht="15" hidden="false" customHeight="false" outlineLevel="0" collapsed="false">
      <c r="A5" s="3"/>
      <c r="B5" s="3"/>
      <c r="C5" s="3"/>
      <c r="D5" s="3"/>
      <c r="E5" s="4"/>
      <c r="F5" s="4"/>
      <c r="G5" s="4"/>
      <c r="H5" s="4"/>
      <c r="I5" s="4"/>
      <c r="J5" s="4"/>
    </row>
    <row r="8" customFormat="false" ht="15" hidden="false" customHeight="false" outlineLevel="0" collapsed="false">
      <c r="A8" s="5" t="s">
        <v>59</v>
      </c>
    </row>
    <row r="9" customFormat="false" ht="15" hidden="false" customHeight="false" outlineLevel="0" collapsed="false">
      <c r="A9" s="6" t="s">
        <v>60</v>
      </c>
      <c r="B9" s="6" t="s">
        <v>61</v>
      </c>
    </row>
    <row r="10" customFormat="false" ht="15" hidden="false" customHeight="false" outlineLevel="0" collapsed="false">
      <c r="A10" s="7" t="s">
        <v>54</v>
      </c>
      <c r="B10" s="8" t="s">
        <v>62</v>
      </c>
      <c r="C10" s="8"/>
      <c r="D10" s="8"/>
      <c r="E10" s="8"/>
      <c r="F10" s="8"/>
      <c r="G10" s="8"/>
      <c r="H10" s="8"/>
      <c r="I10" s="8"/>
      <c r="J10" s="8"/>
    </row>
    <row r="11" customFormat="false" ht="15" hidden="false" customHeight="false" outlineLevel="0" collapsed="false">
      <c r="A11" s="7" t="s">
        <v>55</v>
      </c>
      <c r="B11" s="8" t="s">
        <v>63</v>
      </c>
      <c r="C11" s="8"/>
      <c r="D11" s="8"/>
      <c r="E11" s="8"/>
      <c r="F11" s="8"/>
      <c r="G11" s="8"/>
      <c r="H11" s="8"/>
      <c r="I11" s="8"/>
      <c r="J11" s="8"/>
    </row>
    <row r="12" customFormat="false" ht="15" hidden="false" customHeight="false" outlineLevel="0" collapsed="false">
      <c r="A12" s="7" t="s">
        <v>56</v>
      </c>
      <c r="B12" s="8" t="s">
        <v>64</v>
      </c>
      <c r="C12" s="8"/>
      <c r="D12" s="8"/>
      <c r="E12" s="8"/>
      <c r="F12" s="8"/>
      <c r="G12" s="8"/>
      <c r="H12" s="8"/>
      <c r="I12" s="8"/>
      <c r="J12" s="8"/>
    </row>
    <row r="13" customFormat="false" ht="15" hidden="false" customHeight="false" outlineLevel="0" collapsed="false">
      <c r="A13" s="7" t="s">
        <v>65</v>
      </c>
      <c r="B13" s="8" t="s">
        <v>66</v>
      </c>
      <c r="C13" s="8"/>
      <c r="D13" s="8"/>
      <c r="E13" s="8"/>
      <c r="F13" s="8"/>
      <c r="G13" s="8"/>
      <c r="H13" s="8"/>
      <c r="I13" s="8"/>
      <c r="J13" s="8"/>
    </row>
    <row r="14" customFormat="false" ht="15" hidden="false" customHeight="false" outlineLevel="0" collapsed="false">
      <c r="A14" s="7" t="s">
        <v>67</v>
      </c>
      <c r="B14" s="8" t="s">
        <v>68</v>
      </c>
      <c r="C14" s="8"/>
      <c r="D14" s="8"/>
      <c r="E14" s="8"/>
      <c r="F14" s="8"/>
      <c r="G14" s="8"/>
      <c r="H14" s="8"/>
      <c r="I14" s="8"/>
      <c r="J14" s="8"/>
    </row>
    <row r="17" customFormat="false" ht="15" hidden="false" customHeight="false" outlineLevel="0" collapsed="false">
      <c r="A17" s="5" t="s">
        <v>3</v>
      </c>
      <c r="B17" s="5" t="s">
        <v>69</v>
      </c>
      <c r="D17" s="5" t="s">
        <v>70</v>
      </c>
      <c r="E17" s="5" t="s">
        <v>69</v>
      </c>
    </row>
    <row r="18" customFormat="false" ht="15" hidden="false" customHeight="false" outlineLevel="0" collapsed="false">
      <c r="A18" s="0" t="s">
        <v>13</v>
      </c>
      <c r="B18" s="9" t="n">
        <f aca="false">SUMIF(Data!$D$2:$D$25,A18,Data!$J$2:$J$25)</f>
        <v>724.8</v>
      </c>
      <c r="D18" s="10" t="s">
        <v>16</v>
      </c>
      <c r="E18" s="9" t="n">
        <f aca="false">SUMIF(Data!$I$2:$I$25,D18,Data!$J$2:$J$25)</f>
        <v>807.88</v>
      </c>
    </row>
    <row r="19" customFormat="false" ht="15" hidden="false" customHeight="false" outlineLevel="0" collapsed="false">
      <c r="A19" s="0" t="s">
        <v>20</v>
      </c>
      <c r="B19" s="9" t="n">
        <f aca="false">SUMIF(Data!$D$2:$D$25,A19,Data!$J$2:$J$25)</f>
        <v>877.44</v>
      </c>
      <c r="D19" s="10" t="s">
        <v>30</v>
      </c>
      <c r="E19" s="9" t="n">
        <f aca="false">SUMIF(Data!$I$2:$I$25,D19,Data!$J$2:$J$25)</f>
        <v>568.42</v>
      </c>
    </row>
    <row r="20" customFormat="false" ht="15" hidden="false" customHeight="false" outlineLevel="0" collapsed="false">
      <c r="A20" s="0" t="s">
        <v>26</v>
      </c>
      <c r="B20" s="9" t="n">
        <f aca="false">SUMIF(Data!$D$2:$D$25,A20,Data!$J$2:$J$25)</f>
        <v>243</v>
      </c>
      <c r="D20" s="10" t="s">
        <v>23</v>
      </c>
      <c r="E20" s="9" t="n">
        <f aca="false">SUMIF(Data!$I$2:$I$25,D20,Data!$J$2:$J$25)</f>
        <v>468.94</v>
      </c>
    </row>
  </sheetData>
  <mergeCells count="16">
    <mergeCell ref="A1:J1"/>
    <mergeCell ref="A3:B3"/>
    <mergeCell ref="C3:D3"/>
    <mergeCell ref="E3:F3"/>
    <mergeCell ref="G3:H3"/>
    <mergeCell ref="I3:J3"/>
    <mergeCell ref="A4:B5"/>
    <mergeCell ref="C4:D5"/>
    <mergeCell ref="E4:F5"/>
    <mergeCell ref="G4:H5"/>
    <mergeCell ref="I4:J5"/>
    <mergeCell ref="B10:J10"/>
    <mergeCell ref="B11:J11"/>
    <mergeCell ref="B12:J12"/>
    <mergeCell ref="B13:J13"/>
    <mergeCell ref="B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2026-09-25T03:02:24Z</dcterms:created>
  <dc:creator>openpyxl</dc:creator>
  <dc:description/>
  <dc:language>en-US</dc:language>
  <cp:lastModifiedBy/>
  <dcterms:modified xsi:type="dcterms:W3CDTF">2026-09-25T03:02:52Z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